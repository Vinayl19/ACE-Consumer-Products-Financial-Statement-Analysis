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ay\Downloads\"/>
    </mc:Choice>
  </mc:AlternateContent>
  <xr:revisionPtr revIDLastSave="0" documentId="8_{DC94B0FE-F022-40A5-8090-8B991A6DA330}" xr6:coauthVersionLast="47" xr6:coauthVersionMax="47" xr10:uidLastSave="{00000000-0000-0000-0000-000000000000}"/>
  <bookViews>
    <workbookView xWindow="-108" yWindow="-108" windowWidth="23256" windowHeight="12456" activeTab="4" xr2:uid="{39F1FBC8-BA49-4A38-A73A-6BDC22C643B4}"/>
  </bookViews>
  <sheets>
    <sheet name="Raw Data" sheetId="1" r:id="rId1"/>
    <sheet name="Income Statement" sheetId="2" r:id="rId2"/>
    <sheet name="Balance Sheet" sheetId="3" r:id="rId3"/>
    <sheet name="Cash Flow" sheetId="4" r:id="rId4"/>
    <sheet name="Ratio Analysis" sheetId="5" r:id="rId5"/>
    <sheet name="Dashboard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6" l="1"/>
  <c r="B12" i="6"/>
  <c r="C6" i="5"/>
  <c r="D14" i="4"/>
  <c r="D11" i="4"/>
  <c r="B11" i="4"/>
  <c r="D7" i="4"/>
  <c r="D8" i="4"/>
  <c r="D10" i="4"/>
  <c r="D12" i="4"/>
  <c r="D13" i="4"/>
  <c r="C7" i="4"/>
  <c r="C8" i="4"/>
  <c r="C10" i="4"/>
  <c r="C11" i="4" s="1"/>
  <c r="C12" i="4"/>
  <c r="C14" i="4" s="1"/>
  <c r="C13" i="4"/>
  <c r="B7" i="4"/>
  <c r="B8" i="4"/>
  <c r="B10" i="4"/>
  <c r="B12" i="4"/>
  <c r="B14" i="4" s="1"/>
  <c r="B13" i="4"/>
  <c r="C6" i="4"/>
  <c r="C9" i="4" s="1"/>
  <c r="D6" i="4"/>
  <c r="D9" i="4" s="1"/>
  <c r="D15" i="4" s="1"/>
  <c r="B6" i="4"/>
  <c r="B9" i="4" s="1"/>
  <c r="B15" i="4" s="1"/>
  <c r="D19" i="3"/>
  <c r="D22" i="3" s="1"/>
  <c r="D26" i="3" s="1"/>
  <c r="D8" i="3"/>
  <c r="D9" i="3"/>
  <c r="D10" i="3"/>
  <c r="D12" i="3"/>
  <c r="D13" i="3"/>
  <c r="D16" i="3"/>
  <c r="D17" i="3"/>
  <c r="D18" i="3"/>
  <c r="D20" i="3"/>
  <c r="D21" i="3"/>
  <c r="D23" i="3"/>
  <c r="D25" i="3" s="1"/>
  <c r="D24" i="3"/>
  <c r="C8" i="3"/>
  <c r="C9" i="3"/>
  <c r="C10" i="3"/>
  <c r="C12" i="3"/>
  <c r="C13" i="3"/>
  <c r="C16" i="3"/>
  <c r="C19" i="3" s="1"/>
  <c r="C22" i="3" s="1"/>
  <c r="C26" i="3" s="1"/>
  <c r="C17" i="3"/>
  <c r="C18" i="3"/>
  <c r="C20" i="3"/>
  <c r="C21" i="3"/>
  <c r="C23" i="3"/>
  <c r="C24" i="3"/>
  <c r="C25" i="3" s="1"/>
  <c r="B8" i="3"/>
  <c r="B9" i="3"/>
  <c r="B10" i="3"/>
  <c r="B12" i="3"/>
  <c r="B13" i="3"/>
  <c r="B16" i="3"/>
  <c r="B17" i="3"/>
  <c r="B18" i="3"/>
  <c r="B19" i="3" s="1"/>
  <c r="B22" i="3" s="1"/>
  <c r="B20" i="3"/>
  <c r="B21" i="3"/>
  <c r="B23" i="3"/>
  <c r="B25" i="3" s="1"/>
  <c r="B24" i="3"/>
  <c r="D7" i="3"/>
  <c r="C7" i="3"/>
  <c r="B7" i="3"/>
  <c r="C13" i="2"/>
  <c r="D8" i="2"/>
  <c r="D6" i="5" s="1"/>
  <c r="C8" i="2"/>
  <c r="C10" i="2" s="1"/>
  <c r="C9" i="2"/>
  <c r="D9" i="2"/>
  <c r="C6" i="2"/>
  <c r="D6" i="2"/>
  <c r="B5" i="6" s="1"/>
  <c r="B7" i="2"/>
  <c r="B9" i="2"/>
  <c r="B11" i="2"/>
  <c r="B13" i="2"/>
  <c r="D7" i="2"/>
  <c r="D11" i="2"/>
  <c r="D13" i="2"/>
  <c r="C7" i="2"/>
  <c r="C11" i="2"/>
  <c r="B6" i="2"/>
  <c r="B11" i="6" s="1"/>
  <c r="B26" i="3" l="1"/>
  <c r="C15" i="4"/>
  <c r="C18" i="5"/>
  <c r="C12" i="2"/>
  <c r="C14" i="2" s="1"/>
  <c r="C7" i="5"/>
  <c r="D17" i="5"/>
  <c r="D10" i="2"/>
  <c r="B17" i="5"/>
  <c r="C17" i="5"/>
  <c r="B11" i="3"/>
  <c r="B8" i="2"/>
  <c r="B14" i="3"/>
  <c r="B19" i="5" s="1"/>
  <c r="C11" i="3"/>
  <c r="D11" i="3"/>
  <c r="B6" i="5" l="1"/>
  <c r="B10" i="2"/>
  <c r="C14" i="3"/>
  <c r="C19" i="5" s="1"/>
  <c r="C13" i="5"/>
  <c r="C14" i="5"/>
  <c r="B13" i="5"/>
  <c r="B14" i="5"/>
  <c r="D7" i="5"/>
  <c r="D18" i="5"/>
  <c r="D12" i="2"/>
  <c r="D14" i="2" s="1"/>
  <c r="E12" i="6"/>
  <c r="C10" i="5"/>
  <c r="C9" i="5"/>
  <c r="C8" i="5"/>
  <c r="H12" i="6" s="1"/>
  <c r="D14" i="3"/>
  <c r="D19" i="5" s="1"/>
  <c r="D13" i="5"/>
  <c r="D14" i="5"/>
  <c r="B6" i="6" l="1"/>
  <c r="D10" i="5"/>
  <c r="D9" i="5"/>
  <c r="D8" i="5"/>
  <c r="E13" i="6"/>
  <c r="B18" i="5"/>
  <c r="B7" i="5"/>
  <c r="B12" i="2"/>
  <c r="B14" i="2" s="1"/>
  <c r="B8" i="5" l="1"/>
  <c r="H11" i="6" s="1"/>
  <c r="B10" i="5"/>
  <c r="E11" i="6"/>
  <c r="B9" i="5"/>
  <c r="H13" i="6"/>
  <c r="B7" i="6"/>
  <c r="K19" i="5"/>
  <c r="K19" i="5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<sst xmlns="http://schemas.openxmlformats.org/spreadsheetml/2006/main" count="168" uniqueCount="90">
  <si>
    <t>FY2023</t>
  </si>
  <si>
    <t>FY2024</t>
  </si>
  <si>
    <t>FY2025</t>
  </si>
  <si>
    <t>INCOME STATEMENT</t>
  </si>
  <si>
    <t>Cost of Goods Sold</t>
  </si>
  <si>
    <t>Profit Before Tax</t>
  </si>
  <si>
    <t>Income Tax</t>
  </si>
  <si>
    <t>Net Profit</t>
  </si>
  <si>
    <t>Revenue</t>
  </si>
  <si>
    <t>Gross Profit</t>
  </si>
  <si>
    <t>Operating Expenses</t>
  </si>
  <si>
    <t>Operating Profit</t>
  </si>
  <si>
    <t>Interest Expense</t>
  </si>
  <si>
    <t>BALANCE SHEET</t>
  </si>
  <si>
    <t>Cash &amp; Cash Equivalents</t>
  </si>
  <si>
    <t>Accounts Receivable</t>
  </si>
  <si>
    <t>Inventory</t>
  </si>
  <si>
    <t>Other Current Assets</t>
  </si>
  <si>
    <t>Total Current Assets</t>
  </si>
  <si>
    <t>Property, Plant &amp; Equipment</t>
  </si>
  <si>
    <t>Other Non-Current Assets</t>
  </si>
  <si>
    <t>Total Assets</t>
  </si>
  <si>
    <t>Accounts Payable</t>
  </si>
  <si>
    <t>Short-Term Debt</t>
  </si>
  <si>
    <t>Other Current Liabilities</t>
  </si>
  <si>
    <t>Total Current Liabilities</t>
  </si>
  <si>
    <t>Long-Term Debt</t>
  </si>
  <si>
    <t>Other Non-Current Liabilities</t>
  </si>
  <si>
    <t>Total Liabilities</t>
  </si>
  <si>
    <t>Share Capital</t>
  </si>
  <si>
    <t>Retained Earnings</t>
  </si>
  <si>
    <t>Total Equity</t>
  </si>
  <si>
    <t>Total Liabilities &amp; Equity</t>
  </si>
  <si>
    <t>Particulars</t>
  </si>
  <si>
    <t>CASH FLOW STATEMENT</t>
  </si>
  <si>
    <t>Depreciation</t>
  </si>
  <si>
    <t>Change in Working Capital</t>
  </si>
  <si>
    <t>Cash Flow from Operating Activities</t>
  </si>
  <si>
    <t>Capital Expenditure</t>
  </si>
  <si>
    <t>Cash Flow from Investing Activities</t>
  </si>
  <si>
    <t>Debt Issued / (Repaid)</t>
  </si>
  <si>
    <t>Dividends Paid</t>
  </si>
  <si>
    <t>Cash Flow from Financing Activities</t>
  </si>
  <si>
    <t>Net Change in Cash</t>
  </si>
  <si>
    <t>For the Years FY2023–FY2025 (₹ in crore)</t>
  </si>
  <si>
    <t>Balance Sheet</t>
  </si>
  <si>
    <t xml:space="preserve">FY2023 </t>
  </si>
  <si>
    <t>ASSETS</t>
  </si>
  <si>
    <t>LIABILITIES</t>
  </si>
  <si>
    <t>Cash Flow Statement</t>
  </si>
  <si>
    <t>For the Years FY2023–FY2025 (₹ In crore)</t>
  </si>
  <si>
    <t>Ratio Analysis</t>
  </si>
  <si>
    <t>Gross Profit Margin</t>
  </si>
  <si>
    <t>Operating Profit Margin</t>
  </si>
  <si>
    <t>Net Profit Margin</t>
  </si>
  <si>
    <t>Return on Assets (ROA)</t>
  </si>
  <si>
    <t>Return on Equity (ROE)</t>
  </si>
  <si>
    <t>LIQUIDITY RATIOS</t>
  </si>
  <si>
    <t>Quick Ratio</t>
  </si>
  <si>
    <t>Current Ratio</t>
  </si>
  <si>
    <t>PROFITABILITY RATIOS</t>
  </si>
  <si>
    <t>Debt-to-Equity Ratio</t>
  </si>
  <si>
    <t>Debt-to-Assets Ratio</t>
  </si>
  <si>
    <t>Interest Coverage Ratio</t>
  </si>
  <si>
    <t>Financial Analysis Dashboard</t>
  </si>
  <si>
    <t>FY2023–FY2025 | ₹ In crore</t>
  </si>
  <si>
    <t>Revenue (FY2025)</t>
  </si>
  <si>
    <t>Net Profit (FY2025)</t>
  </si>
  <si>
    <t>REVENUE</t>
  </si>
  <si>
    <t>YEAR</t>
  </si>
  <si>
    <t>NET PROFIT</t>
  </si>
  <si>
    <t>NET PROFIT MARGIN</t>
  </si>
  <si>
    <t>Key Performance Indicators (KPIs)</t>
  </si>
  <si>
    <t>ACE Consumer Products Ltd.</t>
  </si>
  <si>
    <t>ACE Consumer products Ltd. - Financial Statement Analysis</t>
  </si>
  <si>
    <t>Area</t>
  </si>
  <si>
    <t>Conclusion</t>
  </si>
  <si>
    <t>Strong growth from FY2023 to FY2025</t>
  </si>
  <si>
    <t>Profitability</t>
  </si>
  <si>
    <t>Profit margins improved</t>
  </si>
  <si>
    <t>Liquidity</t>
  </si>
  <si>
    <t>Short-term financial position improved</t>
  </si>
  <si>
    <t>Leverage</t>
  </si>
  <si>
    <t>Debt-to-equity declined</t>
  </si>
  <si>
    <t>Overall</t>
  </si>
  <si>
    <t>Financial performance improved over the period</t>
  </si>
  <si>
    <t>Financial Analysis &amp; Insights</t>
  </si>
  <si>
    <t>Author: Vinay L | Tool: Microsoft Excel | Project: Financial Statement Analysis</t>
  </si>
  <si>
    <t>FY2023–FY2025 (₹ In crore)</t>
  </si>
  <si>
    <t>LEVERAGE RATIOS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</si>
</sst>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%"/>
    <numFmt numFmtId="165" formatCode="_ [$₹-4009]\ * #,##0.00_ ;_ [$₹-4009]\ * \-#,##0.00_ ;_ [$₹-4009]\ * &quot;-&quot;??_ ;_ @_ 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theme="1"/>
      <name val="Arial Unicode MS"/>
    </font>
    <font>
      <b/>
      <sz val="11"/>
      <color theme="1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/>
    <xf numFmtId="0" fontId="0" fillId="0" borderId="0" xfId="0" applyAlignment="1">
      <alignment vertical="center" wrapText="1"/>
    </xf>
    <xf numFmtId="43" fontId="0" fillId="0" borderId="0" xfId="1" applyFont="1"/>
    <xf numFmtId="0" fontId="3" fillId="0" borderId="0" xfId="0" applyFont="1" applyAlignment="1">
      <alignment vertical="center" wrapText="1"/>
    </xf>
    <xf numFmtId="43" fontId="3" fillId="0" borderId="0" xfId="1" applyFont="1"/>
    <xf numFmtId="0" fontId="3" fillId="2" borderId="0" xfId="0" applyFont="1" applyFill="1"/>
    <xf numFmtId="9" fontId="0" fillId="0" borderId="0" xfId="2" applyFont="1"/>
    <xf numFmtId="164" fontId="0" fillId="0" borderId="0" xfId="2" applyNumberFormat="1" applyFont="1"/>
    <xf numFmtId="165" fontId="0" fillId="0" borderId="0" xfId="0" applyNumberFormat="1"/>
    <xf numFmtId="43" fontId="0" fillId="0" borderId="0" xfId="0" applyNumberFormat="1"/>
    <xf numFmtId="165" fontId="0" fillId="0" borderId="0" xfId="2" applyNumberFormat="1" applyFont="1"/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top"/>
    </xf>
    <xf numFmtId="43" fontId="0" fillId="0" borderId="1" xfId="0" applyNumberFormat="1" applyBorder="1"/>
    <xf numFmtId="0" fontId="0" fillId="0" borderId="1" xfId="0" applyBorder="1"/>
    <xf numFmtId="0" fontId="3" fillId="2" borderId="1" xfId="0" applyFont="1" applyFill="1" applyBorder="1"/>
    <xf numFmtId="164" fontId="0" fillId="0" borderId="1" xfId="2" applyNumberFormat="1" applyFont="1" applyBorder="1"/>
    <xf numFmtId="164" fontId="0" fillId="0" borderId="1" xfId="2" applyNumberFormat="1" applyFont="1" applyFill="1" applyBorder="1"/>
    <xf numFmtId="0" fontId="3" fillId="3" borderId="0" xfId="0" applyFont="1" applyFill="1" applyAlignment="1">
      <alignment vertical="center" wrapText="1"/>
    </xf>
    <xf numFmtId="43" fontId="3" fillId="3" borderId="0" xfId="0" applyNumberFormat="1" applyFont="1" applyFill="1"/>
    <xf numFmtId="9" fontId="3" fillId="3" borderId="0" xfId="2" applyFont="1" applyFill="1"/>
    <xf numFmtId="0" fontId="3" fillId="3" borderId="0" xfId="0" applyFont="1" applyFill="1"/>
    <xf numFmtId="43" fontId="0" fillId="0" borderId="0" xfId="1" applyFont="1" applyBorder="1" applyAlignment="1">
      <alignment vertical="center" wrapText="1"/>
    </xf>
    <xf numFmtId="0" fontId="4" fillId="5" borderId="0" xfId="0" applyFont="1" applyFill="1"/>
    <xf numFmtId="43" fontId="0" fillId="0" borderId="0" xfId="1" applyFont="1" applyBorder="1"/>
    <xf numFmtId="43" fontId="0" fillId="0" borderId="0" xfId="1" applyFont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4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2" fillId="7" borderId="0" xfId="0" applyFont="1" applyFill="1" applyAlignment="1">
      <alignment horizontal="center"/>
    </xf>
    <xf numFmtId="0" fontId="0" fillId="6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Dashboard!$B$10</c:f>
              <c:strCache>
                <c:ptCount val="1"/>
                <c:pt idx="0">
                  <c:v>REVENUE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dLbl>
              <c:idx val="2"/>
              <c:layout>
                <c:manualLayout>
                  <c:x val="-0.12384823591762568"/>
                  <c:y val="-7.077140835102618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3A0-4178-AE33-DCF55544DF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Dashboard!$A$11:$A$13</c:f>
              <c:strCache>
                <c:ptCount val="3"/>
                <c:pt idx="0">
                  <c:v> FY2023 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Dashboard!$B$11:$B$13</c:f>
              <c:numCache>
                <c:formatCode>_(* #,##0.00_);_(* \(#,##0.00\);_(* "-"??_);_(@_)</c:formatCode>
                <c:ptCount val="3"/>
                <c:pt idx="0">
                  <c:v>500</c:v>
                </c:pt>
                <c:pt idx="1">
                  <c:v>575</c:v>
                </c:pt>
                <c:pt idx="2">
                  <c:v>680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A0-4178-AE33-DCF55544DF4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67476192"/>
        <c:axId val="432626192"/>
      </c:lineChart>
      <c:catAx>
        <c:axId val="66747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626192"/>
        <c:crosses val="autoZero"/>
        <c:auto val="1"/>
        <c:lblAlgn val="ctr"/>
        <c:lblOffset val="100"/>
        <c:noMultiLvlLbl val="0"/>
      </c:catAx>
      <c:valAx>
        <c:axId val="43262619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crossAx val="667476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Dashboard!$E$10</c:f>
              <c:strCache>
                <c:ptCount val="1"/>
                <c:pt idx="0">
                  <c:v>NET PROFIT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Dashboard!$D$11:$D$13</c:f>
              <c:strCache>
                <c:ptCount val="3"/>
                <c:pt idx="0">
                  <c:v> FY2023 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Dashboard!$E$11:$E$13</c:f>
              <c:numCache>
                <c:formatCode>_(* #,##0.00_);_(* \(#,##0.00\);_(* "-"??_);_(@_)</c:formatCode>
                <c:ptCount val="3"/>
                <c:pt idx="0">
                  <c:v>49</c:v>
                </c:pt>
                <c:pt idx="1">
                  <c:v>60</c:v>
                </c:pt>
                <c:pt idx="2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98-4C91-9C35-234F569C615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67528624"/>
        <c:axId val="432606512"/>
      </c:lineChart>
      <c:catAx>
        <c:axId val="66752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606512"/>
        <c:crosses val="autoZero"/>
        <c:auto val="1"/>
        <c:lblAlgn val="ctr"/>
        <c:lblOffset val="100"/>
        <c:noMultiLvlLbl val="0"/>
      </c:catAx>
      <c:valAx>
        <c:axId val="43260651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crossAx val="667528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Dashboard!$H$10</c:f>
              <c:strCache>
                <c:ptCount val="1"/>
                <c:pt idx="0">
                  <c:v>NET PROFIT MARGIN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Dashboard!$G$11:$G$13</c:f>
              <c:strCache>
                <c:ptCount val="3"/>
                <c:pt idx="0">
                  <c:v> FY2023 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Dashboard!$H$11:$H$13</c:f>
              <c:numCache>
                <c:formatCode>0.0%</c:formatCode>
                <c:ptCount val="3"/>
                <c:pt idx="0">
                  <c:v>9.8000000000000004E-2</c:v>
                </c:pt>
                <c:pt idx="1">
                  <c:v>0.10434782608695652</c:v>
                </c:pt>
                <c:pt idx="2">
                  <c:v>0.12058823529411765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91-48BA-8585-71C15F6B7BF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67506816"/>
        <c:axId val="432583472"/>
      </c:lineChart>
      <c:catAx>
        <c:axId val="66750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583472"/>
        <c:crosses val="autoZero"/>
        <c:auto val="1"/>
        <c:lblAlgn val="ctr"/>
        <c:lblOffset val="100"/>
        <c:noMultiLvlLbl val="0"/>
      </c:catAx>
      <c:valAx>
        <c:axId val="43258347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667506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13</xdr:row>
      <xdr:rowOff>175260</xdr:rowOff>
    </xdr:from>
    <xdr:to>
      <xdr:col>1</xdr:col>
      <xdr:colOff>1234440</xdr:colOff>
      <xdr:row>23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DB3DBC-F989-9D4C-AC83-798AB0D133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114300</xdr:colOff>
      <xdr:row>14</xdr:row>
      <xdr:rowOff>15240</xdr:rowOff>
    </xdr:from>
    <xdr:to>
      <xdr:col>4</xdr:col>
      <xdr:colOff>1219200</xdr:colOff>
      <xdr:row>24</xdr:row>
      <xdr:rowOff>7620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26778E3-5CA7-C811-AD07-61BFB20A28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99060</xdr:colOff>
      <xdr:row>14</xdr:row>
      <xdr:rowOff>38100</xdr:rowOff>
    </xdr:from>
    <xdr:to>
      <xdr:col>8</xdr:col>
      <xdr:colOff>22860</xdr:colOff>
      <xdr:row>23</xdr:row>
      <xdr:rowOff>175260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60555E0-6DA1-86C0-D960-CEEB6793F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41F5F-0A4B-4F1C-9AF7-4585C3C9255D}">
  <dimension ref="A1:D47"/>
  <sheetViews>
    <sheetView zoomScale="93" zoomScaleNormal="88" workbookViewId="0">
      <selection activeCell="A16" sqref="A16:XFD16"/>
    </sheetView>
  </sheetViews>
  <sheetFormatPr defaultRowHeight="14.4"/>
  <cols>
    <col min="1" max="1" width="41.21875" customWidth="1"/>
    <col min="2" max="2" width="16" customWidth="1"/>
    <col min="3" max="3" width="15.77734375" customWidth="1"/>
    <col min="4" max="4" width="16.33203125" customWidth="1"/>
  </cols>
  <sheetData>
    <row r="1" spans="1:4" ht="15.6">
      <c r="A1" s="29" t="s">
        <v>74</v>
      </c>
      <c r="B1" s="29"/>
      <c r="C1" s="29"/>
      <c r="D1" s="29"/>
    </row>
    <row r="2" spans="1:4" ht="14.4" customHeight="1">
      <c r="A2" s="24"/>
      <c r="B2" s="24"/>
      <c r="C2" s="24"/>
      <c r="D2" s="24"/>
    </row>
    <row r="3" spans="1:4">
      <c r="A3" s="6" t="s">
        <v>33</v>
      </c>
      <c r="B3" s="6" t="s">
        <v>0</v>
      </c>
      <c r="C3" s="6" t="s">
        <v>1</v>
      </c>
      <c r="D3" s="6" t="s">
        <v>2</v>
      </c>
    </row>
    <row r="5" spans="1:4">
      <c r="A5" s="22" t="s">
        <v>3</v>
      </c>
    </row>
    <row r="6" spans="1:4">
      <c r="A6" s="2" t="s">
        <v>8</v>
      </c>
      <c r="B6" s="23">
        <v>500</v>
      </c>
      <c r="C6" s="23">
        <v>575</v>
      </c>
      <c r="D6" s="23">
        <v>680</v>
      </c>
    </row>
    <row r="7" spans="1:4">
      <c r="A7" s="2" t="s">
        <v>4</v>
      </c>
      <c r="B7" s="23">
        <v>300</v>
      </c>
      <c r="C7" s="23">
        <v>338</v>
      </c>
      <c r="D7" s="23">
        <v>394</v>
      </c>
    </row>
    <row r="8" spans="1:4">
      <c r="A8" s="2" t="s">
        <v>9</v>
      </c>
      <c r="B8" s="23">
        <v>200</v>
      </c>
      <c r="C8" s="23">
        <v>237</v>
      </c>
      <c r="D8" s="23">
        <v>286</v>
      </c>
    </row>
    <row r="9" spans="1:4">
      <c r="A9" s="2" t="s">
        <v>10</v>
      </c>
      <c r="B9" s="23">
        <v>120</v>
      </c>
      <c r="C9" s="23">
        <v>140</v>
      </c>
      <c r="D9" s="23">
        <v>158</v>
      </c>
    </row>
    <row r="10" spans="1:4">
      <c r="A10" s="2" t="s">
        <v>11</v>
      </c>
      <c r="B10" s="23">
        <v>80</v>
      </c>
      <c r="C10" s="23">
        <v>97</v>
      </c>
      <c r="D10" s="23">
        <v>128</v>
      </c>
    </row>
    <row r="11" spans="1:4">
      <c r="A11" s="2" t="s">
        <v>12</v>
      </c>
      <c r="B11" s="23">
        <v>15</v>
      </c>
      <c r="C11" s="23">
        <v>17</v>
      </c>
      <c r="D11" s="23">
        <v>18</v>
      </c>
    </row>
    <row r="12" spans="1:4">
      <c r="A12" s="2" t="s">
        <v>5</v>
      </c>
      <c r="B12" s="23">
        <v>65</v>
      </c>
      <c r="C12" s="23">
        <v>80</v>
      </c>
      <c r="D12" s="23">
        <v>110</v>
      </c>
    </row>
    <row r="13" spans="1:4">
      <c r="A13" s="2" t="s">
        <v>6</v>
      </c>
      <c r="B13" s="23">
        <v>16</v>
      </c>
      <c r="C13" s="23">
        <v>20</v>
      </c>
      <c r="D13" s="23">
        <v>28</v>
      </c>
    </row>
    <row r="14" spans="1:4">
      <c r="A14" s="2" t="s">
        <v>7</v>
      </c>
      <c r="B14" s="23">
        <v>49</v>
      </c>
      <c r="C14" s="23">
        <v>60</v>
      </c>
      <c r="D14" s="23">
        <v>82</v>
      </c>
    </row>
    <row r="15" spans="1:4">
      <c r="B15" s="25"/>
      <c r="C15" s="25"/>
      <c r="D15" s="25"/>
    </row>
    <row r="16" spans="1:4">
      <c r="A16" s="22" t="s">
        <v>13</v>
      </c>
      <c r="B16" s="25"/>
      <c r="C16" s="25"/>
      <c r="D16" s="25"/>
    </row>
    <row r="17" spans="1:4">
      <c r="A17" s="2" t="s">
        <v>14</v>
      </c>
      <c r="B17" s="26">
        <v>60</v>
      </c>
      <c r="C17" s="26">
        <v>72</v>
      </c>
      <c r="D17" s="26">
        <v>95</v>
      </c>
    </row>
    <row r="18" spans="1:4">
      <c r="A18" s="2" t="s">
        <v>15</v>
      </c>
      <c r="B18" s="26">
        <v>75</v>
      </c>
      <c r="C18" s="26">
        <v>84</v>
      </c>
      <c r="D18" s="26">
        <v>96</v>
      </c>
    </row>
    <row r="19" spans="1:4">
      <c r="A19" s="2" t="s">
        <v>16</v>
      </c>
      <c r="B19" s="26">
        <v>90</v>
      </c>
      <c r="C19" s="26">
        <v>102</v>
      </c>
      <c r="D19" s="26">
        <v>118</v>
      </c>
    </row>
    <row r="20" spans="1:4">
      <c r="A20" s="2" t="s">
        <v>17</v>
      </c>
      <c r="B20" s="26">
        <v>25</v>
      </c>
      <c r="C20" s="26">
        <v>29</v>
      </c>
      <c r="D20" s="26">
        <v>34</v>
      </c>
    </row>
    <row r="21" spans="1:4">
      <c r="A21" s="2" t="s">
        <v>18</v>
      </c>
      <c r="B21" s="26">
        <v>250</v>
      </c>
      <c r="C21" s="26">
        <v>287</v>
      </c>
      <c r="D21" s="26">
        <v>343</v>
      </c>
    </row>
    <row r="22" spans="1:4">
      <c r="A22" s="2" t="s">
        <v>19</v>
      </c>
      <c r="B22" s="26">
        <v>300</v>
      </c>
      <c r="C22" s="26">
        <v>335</v>
      </c>
      <c r="D22" s="26">
        <v>375</v>
      </c>
    </row>
    <row r="23" spans="1:4">
      <c r="A23" s="2" t="s">
        <v>20</v>
      </c>
      <c r="B23" s="26">
        <v>50</v>
      </c>
      <c r="C23" s="26">
        <v>53</v>
      </c>
      <c r="D23" s="26">
        <v>57</v>
      </c>
    </row>
    <row r="24" spans="1:4">
      <c r="A24" s="2" t="s">
        <v>21</v>
      </c>
      <c r="B24" s="26">
        <v>600</v>
      </c>
      <c r="C24" s="26">
        <v>675</v>
      </c>
      <c r="D24" s="26">
        <v>775</v>
      </c>
    </row>
    <row r="25" spans="1:4">
      <c r="A25" s="2" t="s">
        <v>22</v>
      </c>
      <c r="B25" s="26">
        <v>65</v>
      </c>
      <c r="C25" s="26">
        <v>74</v>
      </c>
      <c r="D25" s="26">
        <v>84</v>
      </c>
    </row>
    <row r="26" spans="1:4">
      <c r="A26" s="2" t="s">
        <v>23</v>
      </c>
      <c r="B26" s="26">
        <v>45</v>
      </c>
      <c r="C26" s="26">
        <v>50</v>
      </c>
      <c r="D26" s="26">
        <v>55</v>
      </c>
    </row>
    <row r="27" spans="1:4">
      <c r="A27" s="2" t="s">
        <v>24</v>
      </c>
      <c r="B27" s="26">
        <v>40</v>
      </c>
      <c r="C27" s="26">
        <v>46</v>
      </c>
      <c r="D27" s="26">
        <v>52</v>
      </c>
    </row>
    <row r="28" spans="1:4">
      <c r="A28" s="2" t="s">
        <v>25</v>
      </c>
      <c r="B28" s="26">
        <v>150</v>
      </c>
      <c r="C28" s="26">
        <v>170</v>
      </c>
      <c r="D28" s="26">
        <v>191</v>
      </c>
    </row>
    <row r="29" spans="1:4">
      <c r="A29" s="2" t="s">
        <v>26</v>
      </c>
      <c r="B29" s="26">
        <v>180</v>
      </c>
      <c r="C29" s="26">
        <v>195</v>
      </c>
      <c r="D29" s="26">
        <v>210</v>
      </c>
    </row>
    <row r="30" spans="1:4">
      <c r="A30" s="2" t="s">
        <v>27</v>
      </c>
      <c r="B30" s="26">
        <v>50</v>
      </c>
      <c r="C30" s="26">
        <v>55</v>
      </c>
      <c r="D30" s="26">
        <v>59</v>
      </c>
    </row>
    <row r="31" spans="1:4">
      <c r="A31" s="2" t="s">
        <v>28</v>
      </c>
      <c r="B31" s="26">
        <v>380</v>
      </c>
      <c r="C31" s="26">
        <v>420</v>
      </c>
      <c r="D31" s="26">
        <v>460</v>
      </c>
    </row>
    <row r="32" spans="1:4">
      <c r="A32" s="2" t="s">
        <v>29</v>
      </c>
      <c r="B32" s="26">
        <v>100</v>
      </c>
      <c r="C32" s="26">
        <v>100</v>
      </c>
      <c r="D32" s="26">
        <v>100</v>
      </c>
    </row>
    <row r="33" spans="1:4">
      <c r="A33" s="2" t="s">
        <v>30</v>
      </c>
      <c r="B33" s="26">
        <v>120</v>
      </c>
      <c r="C33" s="26">
        <v>155</v>
      </c>
      <c r="D33" s="26">
        <v>215</v>
      </c>
    </row>
    <row r="34" spans="1:4">
      <c r="A34" s="2" t="s">
        <v>31</v>
      </c>
      <c r="B34" s="26">
        <v>220</v>
      </c>
      <c r="C34" s="26">
        <v>255</v>
      </c>
      <c r="D34" s="26">
        <v>315</v>
      </c>
    </row>
    <row r="35" spans="1:4">
      <c r="A35" s="2" t="s">
        <v>32</v>
      </c>
      <c r="B35" s="26">
        <v>600</v>
      </c>
      <c r="C35" s="26">
        <v>675</v>
      </c>
      <c r="D35" s="26">
        <v>775</v>
      </c>
    </row>
    <row r="36" spans="1:4">
      <c r="B36" s="25"/>
      <c r="C36" s="25"/>
      <c r="D36" s="25"/>
    </row>
    <row r="37" spans="1:4">
      <c r="A37" s="22" t="s">
        <v>34</v>
      </c>
      <c r="B37" s="25"/>
      <c r="C37" s="25"/>
      <c r="D37" s="25"/>
    </row>
    <row r="38" spans="1:4">
      <c r="A38" s="2" t="s">
        <v>7</v>
      </c>
      <c r="B38" s="26">
        <v>49</v>
      </c>
      <c r="C38" s="26">
        <v>60</v>
      </c>
      <c r="D38" s="26">
        <v>82</v>
      </c>
    </row>
    <row r="39" spans="1:4">
      <c r="A39" s="2" t="s">
        <v>35</v>
      </c>
      <c r="B39" s="26">
        <v>25</v>
      </c>
      <c r="C39" s="26">
        <v>28</v>
      </c>
      <c r="D39" s="26">
        <v>31</v>
      </c>
    </row>
    <row r="40" spans="1:4">
      <c r="A40" s="2" t="s">
        <v>36</v>
      </c>
      <c r="B40" s="26">
        <v>-10</v>
      </c>
      <c r="C40" s="26">
        <v>-12</v>
      </c>
      <c r="D40" s="26">
        <v>-15</v>
      </c>
    </row>
    <row r="41" spans="1:4">
      <c r="A41" s="2" t="s">
        <v>37</v>
      </c>
      <c r="B41" s="26">
        <v>64</v>
      </c>
      <c r="C41" s="26">
        <v>76</v>
      </c>
      <c r="D41" s="26">
        <v>98</v>
      </c>
    </row>
    <row r="42" spans="1:4">
      <c r="A42" s="2" t="s">
        <v>38</v>
      </c>
      <c r="B42" s="26">
        <v>-55</v>
      </c>
      <c r="C42" s="26">
        <v>-63</v>
      </c>
      <c r="D42" s="26">
        <v>-71</v>
      </c>
    </row>
    <row r="43" spans="1:4">
      <c r="A43" s="2" t="s">
        <v>39</v>
      </c>
      <c r="B43" s="26">
        <v>-55</v>
      </c>
      <c r="C43" s="26">
        <v>-63</v>
      </c>
      <c r="D43" s="26">
        <v>-71</v>
      </c>
    </row>
    <row r="44" spans="1:4">
      <c r="A44" s="2" t="s">
        <v>40</v>
      </c>
      <c r="B44" s="26">
        <v>10</v>
      </c>
      <c r="C44" s="26">
        <v>20</v>
      </c>
      <c r="D44" s="26">
        <v>20</v>
      </c>
    </row>
    <row r="45" spans="1:4">
      <c r="A45" s="2" t="s">
        <v>41</v>
      </c>
      <c r="B45" s="26">
        <v>-20</v>
      </c>
      <c r="C45" s="26">
        <v>-21</v>
      </c>
      <c r="D45" s="26">
        <v>-24</v>
      </c>
    </row>
    <row r="46" spans="1:4">
      <c r="A46" s="2" t="s">
        <v>42</v>
      </c>
      <c r="B46" s="26">
        <v>-10</v>
      </c>
      <c r="C46" s="26">
        <v>-1</v>
      </c>
      <c r="D46" s="26">
        <v>-4</v>
      </c>
    </row>
    <row r="47" spans="1:4">
      <c r="A47" s="2" t="s">
        <v>43</v>
      </c>
      <c r="B47" s="26">
        <v>-1</v>
      </c>
      <c r="C47" s="26">
        <v>12</v>
      </c>
      <c r="D47" s="26">
        <v>23</v>
      </c>
    </row>
  </sheetData>
  <mergeCells count="1">
    <mergeCell ref="A1:D1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D1FD9-E4C2-4B72-943C-DE15D86EAA13}">
  <dimension ref="A1:K20"/>
  <sheetViews>
    <sheetView zoomScale="163" workbookViewId="0">
      <selection activeCell="AD19" sqref="AD19"/>
    </sheetView>
  </sheetViews>
  <sheetFormatPr defaultRowHeight="14.4"/>
  <cols>
    <col min="1" max="1" width="31.21875" customWidth="1"/>
    <col min="2" max="2" width="15.88671875" customWidth="1"/>
    <col min="3" max="3" width="16.109375" customWidth="1"/>
    <col min="4" max="4" width="15.88671875" customWidth="1"/>
  </cols>
  <sheetData>
    <row r="1" spans="1:4" ht="18">
      <c r="A1" s="30" t="s">
        <v>73</v>
      </c>
      <c r="B1" s="30"/>
      <c r="C1" s="30"/>
      <c r="D1" s="30"/>
    </row>
    <row r="2" spans="1:4">
      <c r="A2" s="31" t="s">
        <v>3</v>
      </c>
      <c r="B2" s="31"/>
      <c r="C2" s="31"/>
      <c r="D2" s="31"/>
    </row>
    <row r="3" spans="1:4">
      <c r="A3" s="32" t="s">
        <v>44</v>
      </c>
      <c r="B3" s="32"/>
      <c r="C3" s="32"/>
      <c r="D3" s="32"/>
    </row>
    <row r="5" spans="1:4">
      <c r="A5" s="6" t="s">
        <v>33</v>
      </c>
      <c r="B5" s="6" t="s">
        <v>0</v>
      </c>
      <c r="C5" s="6" t="s">
        <v>1</v>
      </c>
      <c r="D5" s="6" t="s">
        <v>2</v>
      </c>
    </row>
    <row r="6" spans="1:4" s="1" customFormat="1">
      <c r="A6" s="4" t="s">
        <v>8</v>
      </c>
      <c r="B6" s="5">
        <f>'Raw Data'!B6</f>
        <v>500</v>
      </c>
      <c r="C6" s="5">
        <f>'Raw Data'!C6</f>
        <v>575</v>
      </c>
      <c r="D6" s="5">
        <f>'Raw Data'!D6</f>
        <v>680</v>
      </c>
    </row>
    <row r="7" spans="1:4">
      <c r="A7" s="2" t="s">
        <v>4</v>
      </c>
      <c r="B7" s="3">
        <f>'Raw Data'!B7</f>
        <v>300</v>
      </c>
      <c r="C7" s="3">
        <f>'Raw Data'!C7</f>
        <v>338</v>
      </c>
      <c r="D7" s="3">
        <f>'Raw Data'!D7</f>
        <v>394</v>
      </c>
    </row>
    <row r="8" spans="1:4" s="1" customFormat="1">
      <c r="A8" s="4" t="s">
        <v>9</v>
      </c>
      <c r="B8" s="5">
        <f>B6-B7</f>
        <v>200</v>
      </c>
      <c r="C8" s="5">
        <f>C6-C7</f>
        <v>237</v>
      </c>
      <c r="D8" s="5">
        <f>D6-D7</f>
        <v>286</v>
      </c>
    </row>
    <row r="9" spans="1:4">
      <c r="A9" s="2" t="s">
        <v>10</v>
      </c>
      <c r="B9" s="3">
        <f>'Raw Data'!B9</f>
        <v>120</v>
      </c>
      <c r="C9" s="3">
        <f>'Raw Data'!C9</f>
        <v>140</v>
      </c>
      <c r="D9" s="3">
        <f>'Raw Data'!D9</f>
        <v>158</v>
      </c>
    </row>
    <row r="10" spans="1:4" s="1" customFormat="1">
      <c r="A10" s="4" t="s">
        <v>11</v>
      </c>
      <c r="B10" s="5">
        <f>B8-B9</f>
        <v>80</v>
      </c>
      <c r="C10" s="5">
        <f>C8-C9</f>
        <v>97</v>
      </c>
      <c r="D10" s="5">
        <f>D8-D9</f>
        <v>128</v>
      </c>
    </row>
    <row r="11" spans="1:4">
      <c r="A11" s="2" t="s">
        <v>12</v>
      </c>
      <c r="B11" s="3">
        <f>'Raw Data'!B11</f>
        <v>15</v>
      </c>
      <c r="C11" s="3">
        <f>'Raw Data'!C11</f>
        <v>17</v>
      </c>
      <c r="D11" s="3">
        <f>'Raw Data'!D11</f>
        <v>18</v>
      </c>
    </row>
    <row r="12" spans="1:4" s="1" customFormat="1">
      <c r="A12" s="4" t="s">
        <v>5</v>
      </c>
      <c r="B12" s="5">
        <f>B10-B11</f>
        <v>65</v>
      </c>
      <c r="C12" s="5">
        <f>C10-C11</f>
        <v>80</v>
      </c>
      <c r="D12" s="5">
        <f>D10-D11</f>
        <v>110</v>
      </c>
    </row>
    <row r="13" spans="1:4">
      <c r="A13" s="2" t="s">
        <v>6</v>
      </c>
      <c r="B13" s="3">
        <f>'Raw Data'!B13</f>
        <v>16</v>
      </c>
      <c r="C13" s="3">
        <f>'Raw Data'!C13</f>
        <v>20</v>
      </c>
      <c r="D13" s="3">
        <f>'Raw Data'!D13</f>
        <v>28</v>
      </c>
    </row>
    <row r="14" spans="1:4" s="1" customFormat="1">
      <c r="A14" s="4" t="s">
        <v>7</v>
      </c>
      <c r="B14" s="5">
        <f>B12-B13</f>
        <v>49</v>
      </c>
      <c r="C14" s="5">
        <f>C12-C13</f>
        <v>60</v>
      </c>
      <c r="D14" s="5">
        <f>D12-D13</f>
        <v>82</v>
      </c>
    </row>
    <row r="20" spans="11:11">
      <c r="K20" s="1"/>
    </row>
  </sheetData>
  <mergeCells count="3">
    <mergeCell ref="A1:D1"/>
    <mergeCell ref="A2:D2"/>
    <mergeCell ref="A3:D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1EFC8-3A42-4737-9F6F-FFF42B2E3474}">
  <dimension ref="A1:D26"/>
  <sheetViews>
    <sheetView zoomScale="120" workbookViewId="0">
      <selection activeCell="AF22" sqref="AF22"/>
    </sheetView>
  </sheetViews>
  <sheetFormatPr defaultRowHeight="14.4"/>
  <cols>
    <col min="1" max="1" width="36" customWidth="1"/>
    <col min="2" max="2" width="15.6640625" customWidth="1"/>
    <col min="3" max="3" width="16.21875" customWidth="1"/>
    <col min="4" max="4" width="15.88671875" customWidth="1"/>
  </cols>
  <sheetData>
    <row r="1" spans="1:4" ht="17.399999999999999">
      <c r="A1" s="33" t="s">
        <v>73</v>
      </c>
      <c r="B1" s="33"/>
      <c r="C1" s="33"/>
      <c r="D1" s="33"/>
    </row>
    <row r="2" spans="1:4">
      <c r="A2" s="34" t="s">
        <v>45</v>
      </c>
      <c r="B2" s="34"/>
      <c r="C2" s="34"/>
      <c r="D2" s="34"/>
    </row>
    <row r="3" spans="1:4">
      <c r="A3" s="32" t="s">
        <v>44</v>
      </c>
      <c r="B3" s="32"/>
      <c r="C3" s="32"/>
      <c r="D3" s="32"/>
    </row>
    <row r="5" spans="1:4">
      <c r="A5" s="6" t="s">
        <v>33</v>
      </c>
      <c r="B5" s="6" t="s">
        <v>46</v>
      </c>
      <c r="C5" s="6" t="s">
        <v>1</v>
      </c>
      <c r="D5" s="6" t="s">
        <v>2</v>
      </c>
    </row>
    <row r="6" spans="1:4">
      <c r="A6" s="1" t="s">
        <v>47</v>
      </c>
      <c r="B6" s="1"/>
      <c r="C6" s="1"/>
      <c r="D6" s="1"/>
    </row>
    <row r="7" spans="1:4">
      <c r="A7" s="2" t="s">
        <v>14</v>
      </c>
      <c r="B7" s="3">
        <f>'Raw Data'!B17</f>
        <v>60</v>
      </c>
      <c r="C7" s="3">
        <f>'Raw Data'!C17</f>
        <v>72</v>
      </c>
      <c r="D7" s="3">
        <f>'Raw Data'!D17</f>
        <v>95</v>
      </c>
    </row>
    <row r="8" spans="1:4">
      <c r="A8" s="2" t="s">
        <v>15</v>
      </c>
      <c r="B8" s="3">
        <f>'Raw Data'!B18</f>
        <v>75</v>
      </c>
      <c r="C8" s="3">
        <f>'Raw Data'!C18</f>
        <v>84</v>
      </c>
      <c r="D8" s="3">
        <f>'Raw Data'!D18</f>
        <v>96</v>
      </c>
    </row>
    <row r="9" spans="1:4">
      <c r="A9" s="2" t="s">
        <v>16</v>
      </c>
      <c r="B9" s="3">
        <f>'Raw Data'!B19</f>
        <v>90</v>
      </c>
      <c r="C9" s="3">
        <f>'Raw Data'!C19</f>
        <v>102</v>
      </c>
      <c r="D9" s="3">
        <f>'Raw Data'!D19</f>
        <v>118</v>
      </c>
    </row>
    <row r="10" spans="1:4">
      <c r="A10" s="2" t="s">
        <v>17</v>
      </c>
      <c r="B10" s="3">
        <f>'Raw Data'!B20</f>
        <v>25</v>
      </c>
      <c r="C10" s="3">
        <f>'Raw Data'!C20</f>
        <v>29</v>
      </c>
      <c r="D10" s="3">
        <f>'Raw Data'!D20</f>
        <v>34</v>
      </c>
    </row>
    <row r="11" spans="1:4" s="1" customFormat="1">
      <c r="A11" s="4" t="s">
        <v>18</v>
      </c>
      <c r="B11" s="5">
        <f>SUM(B7:B10)</f>
        <v>250</v>
      </c>
      <c r="C11" s="5">
        <f t="shared" ref="C11:D11" si="0">SUM(C7:C10)</f>
        <v>287</v>
      </c>
      <c r="D11" s="5">
        <f t="shared" si="0"/>
        <v>343</v>
      </c>
    </row>
    <row r="12" spans="1:4">
      <c r="A12" s="2" t="s">
        <v>19</v>
      </c>
      <c r="B12" s="3">
        <f>'Raw Data'!B22</f>
        <v>300</v>
      </c>
      <c r="C12" s="3">
        <f>'Raw Data'!C22</f>
        <v>335</v>
      </c>
      <c r="D12" s="3">
        <f>'Raw Data'!D22</f>
        <v>375</v>
      </c>
    </row>
    <row r="13" spans="1:4">
      <c r="A13" s="2" t="s">
        <v>20</v>
      </c>
      <c r="B13" s="3">
        <f>'Raw Data'!B23</f>
        <v>50</v>
      </c>
      <c r="C13" s="3">
        <f>'Raw Data'!C23</f>
        <v>53</v>
      </c>
      <c r="D13" s="3">
        <f>'Raw Data'!D23</f>
        <v>57</v>
      </c>
    </row>
    <row r="14" spans="1:4" s="1" customFormat="1">
      <c r="A14" s="4" t="s">
        <v>21</v>
      </c>
      <c r="B14" s="5">
        <f>B11+B12+B13</f>
        <v>600</v>
      </c>
      <c r="C14" s="5">
        <f t="shared" ref="C14:D14" si="1">C11+C12+C13</f>
        <v>675</v>
      </c>
      <c r="D14" s="5">
        <f t="shared" si="1"/>
        <v>775</v>
      </c>
    </row>
    <row r="15" spans="1:4">
      <c r="A15" s="4" t="s">
        <v>48</v>
      </c>
      <c r="B15" s="3"/>
      <c r="C15" s="3"/>
      <c r="D15" s="3"/>
    </row>
    <row r="16" spans="1:4">
      <c r="A16" s="2" t="s">
        <v>22</v>
      </c>
      <c r="B16" s="3">
        <f>'Raw Data'!B25</f>
        <v>65</v>
      </c>
      <c r="C16" s="3">
        <f>'Raw Data'!C25</f>
        <v>74</v>
      </c>
      <c r="D16" s="3">
        <f>'Raw Data'!D25</f>
        <v>84</v>
      </c>
    </row>
    <row r="17" spans="1:4">
      <c r="A17" s="2" t="s">
        <v>23</v>
      </c>
      <c r="B17" s="3">
        <f>'Raw Data'!B26</f>
        <v>45</v>
      </c>
      <c r="C17" s="3">
        <f>'Raw Data'!C26</f>
        <v>50</v>
      </c>
      <c r="D17" s="3">
        <f>'Raw Data'!D26</f>
        <v>55</v>
      </c>
    </row>
    <row r="18" spans="1:4">
      <c r="A18" s="2" t="s">
        <v>24</v>
      </c>
      <c r="B18" s="3">
        <f>'Raw Data'!B27</f>
        <v>40</v>
      </c>
      <c r="C18" s="3">
        <f>'Raw Data'!C27</f>
        <v>46</v>
      </c>
      <c r="D18" s="3">
        <f>'Raw Data'!D27</f>
        <v>52</v>
      </c>
    </row>
    <row r="19" spans="1:4" s="1" customFormat="1">
      <c r="A19" s="4" t="s">
        <v>25</v>
      </c>
      <c r="B19" s="5">
        <f>B16+B17+B18</f>
        <v>150</v>
      </c>
      <c r="C19" s="5">
        <f t="shared" ref="C19:D19" si="2">C16+C17+C18</f>
        <v>170</v>
      </c>
      <c r="D19" s="5">
        <f t="shared" si="2"/>
        <v>191</v>
      </c>
    </row>
    <row r="20" spans="1:4">
      <c r="A20" s="2" t="s">
        <v>26</v>
      </c>
      <c r="B20" s="3">
        <f>'Raw Data'!B29</f>
        <v>180</v>
      </c>
      <c r="C20" s="3">
        <f>'Raw Data'!C29</f>
        <v>195</v>
      </c>
      <c r="D20" s="3">
        <f>'Raw Data'!D29</f>
        <v>210</v>
      </c>
    </row>
    <row r="21" spans="1:4">
      <c r="A21" s="2" t="s">
        <v>27</v>
      </c>
      <c r="B21" s="3">
        <f>'Raw Data'!B30</f>
        <v>50</v>
      </c>
      <c r="C21" s="3">
        <f>'Raw Data'!C30</f>
        <v>55</v>
      </c>
      <c r="D21" s="3">
        <f>'Raw Data'!D30</f>
        <v>59</v>
      </c>
    </row>
    <row r="22" spans="1:4" s="1" customFormat="1">
      <c r="A22" s="4" t="s">
        <v>28</v>
      </c>
      <c r="B22" s="5">
        <f>SUM(B19:B21)</f>
        <v>380</v>
      </c>
      <c r="C22" s="5">
        <f t="shared" ref="C22:D22" si="3">SUM(C19:C21)</f>
        <v>420</v>
      </c>
      <c r="D22" s="5">
        <f t="shared" si="3"/>
        <v>460</v>
      </c>
    </row>
    <row r="23" spans="1:4">
      <c r="A23" s="2" t="s">
        <v>29</v>
      </c>
      <c r="B23" s="3">
        <f>'Raw Data'!B32</f>
        <v>100</v>
      </c>
      <c r="C23" s="3">
        <f>'Raw Data'!C32</f>
        <v>100</v>
      </c>
      <c r="D23" s="3">
        <f>'Raw Data'!D32</f>
        <v>100</v>
      </c>
    </row>
    <row r="24" spans="1:4">
      <c r="A24" s="2" t="s">
        <v>30</v>
      </c>
      <c r="B24" s="3">
        <f>'Raw Data'!B33</f>
        <v>120</v>
      </c>
      <c r="C24" s="3">
        <f>'Raw Data'!C33</f>
        <v>155</v>
      </c>
      <c r="D24" s="3">
        <f>'Raw Data'!D33</f>
        <v>215</v>
      </c>
    </row>
    <row r="25" spans="1:4" s="1" customFormat="1">
      <c r="A25" s="4" t="s">
        <v>31</v>
      </c>
      <c r="B25" s="5">
        <f>B23+B24</f>
        <v>220</v>
      </c>
      <c r="C25" s="5">
        <f t="shared" ref="C25:D25" si="4">C23+C24</f>
        <v>255</v>
      </c>
      <c r="D25" s="5">
        <f t="shared" si="4"/>
        <v>315</v>
      </c>
    </row>
    <row r="26" spans="1:4" s="1" customFormat="1">
      <c r="A26" s="4" t="s">
        <v>32</v>
      </c>
      <c r="B26" s="5">
        <f>SUM(B22,B25)</f>
        <v>600</v>
      </c>
      <c r="C26" s="5">
        <f t="shared" ref="C26:D26" si="5">SUM(C22,C25)</f>
        <v>675</v>
      </c>
      <c r="D26" s="5">
        <f t="shared" si="5"/>
        <v>775</v>
      </c>
    </row>
  </sheetData>
  <mergeCells count="3">
    <mergeCell ref="A3:D3"/>
    <mergeCell ref="A1:D1"/>
    <mergeCell ref="A2:D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5E62F-5E85-4997-889A-66295D050942}">
  <dimension ref="A1:D15"/>
  <sheetViews>
    <sheetView zoomScale="170" workbookViewId="0">
      <selection activeCell="V13" sqref="V13"/>
    </sheetView>
  </sheetViews>
  <sheetFormatPr defaultRowHeight="14.4"/>
  <cols>
    <col min="1" max="1" width="40.77734375" customWidth="1"/>
    <col min="2" max="2" width="16.33203125" customWidth="1"/>
    <col min="3" max="3" width="16" customWidth="1"/>
    <col min="4" max="4" width="15.77734375" customWidth="1"/>
  </cols>
  <sheetData>
    <row r="1" spans="1:4" ht="18">
      <c r="A1" s="30" t="s">
        <v>73</v>
      </c>
      <c r="B1" s="30"/>
      <c r="C1" s="30"/>
      <c r="D1" s="30"/>
    </row>
    <row r="2" spans="1:4">
      <c r="A2" s="31" t="s">
        <v>49</v>
      </c>
      <c r="B2" s="31"/>
      <c r="C2" s="31"/>
      <c r="D2" s="31"/>
    </row>
    <row r="3" spans="1:4">
      <c r="A3" s="32" t="s">
        <v>50</v>
      </c>
      <c r="B3" s="32"/>
      <c r="C3" s="32"/>
      <c r="D3" s="32"/>
    </row>
    <row r="5" spans="1:4">
      <c r="A5" s="6" t="s">
        <v>33</v>
      </c>
      <c r="B5" s="6" t="s">
        <v>0</v>
      </c>
      <c r="C5" s="6" t="s">
        <v>1</v>
      </c>
      <c r="D5" s="6" t="s">
        <v>2</v>
      </c>
    </row>
    <row r="6" spans="1:4">
      <c r="A6" s="2" t="s">
        <v>7</v>
      </c>
      <c r="B6" s="3">
        <f>'Raw Data'!B38</f>
        <v>49</v>
      </c>
      <c r="C6" s="3">
        <f>'Raw Data'!C38</f>
        <v>60</v>
      </c>
      <c r="D6" s="3">
        <f>'Raw Data'!D38</f>
        <v>82</v>
      </c>
    </row>
    <row r="7" spans="1:4">
      <c r="A7" s="2" t="s">
        <v>35</v>
      </c>
      <c r="B7" s="3">
        <f>'Raw Data'!B39</f>
        <v>25</v>
      </c>
      <c r="C7" s="3">
        <f>'Raw Data'!C39</f>
        <v>28</v>
      </c>
      <c r="D7" s="3">
        <f>'Raw Data'!D39</f>
        <v>31</v>
      </c>
    </row>
    <row r="8" spans="1:4">
      <c r="A8" s="2" t="s">
        <v>36</v>
      </c>
      <c r="B8" s="3">
        <f>'Raw Data'!B40</f>
        <v>-10</v>
      </c>
      <c r="C8" s="3">
        <f>'Raw Data'!C40</f>
        <v>-12</v>
      </c>
      <c r="D8" s="3">
        <f>'Raw Data'!D40</f>
        <v>-15</v>
      </c>
    </row>
    <row r="9" spans="1:4" s="1" customFormat="1">
      <c r="A9" s="4" t="s">
        <v>37</v>
      </c>
      <c r="B9" s="5">
        <f>SUM(B6:B8)</f>
        <v>64</v>
      </c>
      <c r="C9" s="5">
        <f t="shared" ref="C9:D9" si="0">SUM(C6:C8)</f>
        <v>76</v>
      </c>
      <c r="D9" s="5">
        <f t="shared" si="0"/>
        <v>98</v>
      </c>
    </row>
    <row r="10" spans="1:4">
      <c r="A10" s="2" t="s">
        <v>38</v>
      </c>
      <c r="B10" s="3">
        <f>'Raw Data'!B42</f>
        <v>-55</v>
      </c>
      <c r="C10" s="3">
        <f>'Raw Data'!C42</f>
        <v>-63</v>
      </c>
      <c r="D10" s="3">
        <f>'Raw Data'!D42</f>
        <v>-71</v>
      </c>
    </row>
    <row r="11" spans="1:4" s="1" customFormat="1">
      <c r="A11" s="4" t="s">
        <v>39</v>
      </c>
      <c r="B11" s="5">
        <f>B10</f>
        <v>-55</v>
      </c>
      <c r="C11" s="5">
        <f t="shared" ref="C11:D11" si="1">C10</f>
        <v>-63</v>
      </c>
      <c r="D11" s="5">
        <f t="shared" si="1"/>
        <v>-71</v>
      </c>
    </row>
    <row r="12" spans="1:4">
      <c r="A12" s="2" t="s">
        <v>40</v>
      </c>
      <c r="B12" s="3">
        <f>'Raw Data'!B44</f>
        <v>10</v>
      </c>
      <c r="C12" s="3">
        <f>'Raw Data'!C44</f>
        <v>20</v>
      </c>
      <c r="D12" s="3">
        <f>'Raw Data'!D44</f>
        <v>20</v>
      </c>
    </row>
    <row r="13" spans="1:4">
      <c r="A13" s="2" t="s">
        <v>41</v>
      </c>
      <c r="B13" s="3">
        <f>'Raw Data'!B45</f>
        <v>-20</v>
      </c>
      <c r="C13" s="3">
        <f>'Raw Data'!C45</f>
        <v>-21</v>
      </c>
      <c r="D13" s="3">
        <f>'Raw Data'!D45</f>
        <v>-24</v>
      </c>
    </row>
    <row r="14" spans="1:4" s="1" customFormat="1">
      <c r="A14" s="4" t="s">
        <v>42</v>
      </c>
      <c r="B14" s="5">
        <f>SUM(B12:B13)</f>
        <v>-10</v>
      </c>
      <c r="C14" s="5">
        <f t="shared" ref="C14:D14" si="2">SUM(C12:C13)</f>
        <v>-1</v>
      </c>
      <c r="D14" s="5">
        <f t="shared" si="2"/>
        <v>-4</v>
      </c>
    </row>
    <row r="15" spans="1:4" s="1" customFormat="1">
      <c r="A15" s="4" t="s">
        <v>43</v>
      </c>
      <c r="B15" s="5">
        <f>SUM(B9,B11,B14)</f>
        <v>-1</v>
      </c>
      <c r="C15" s="5">
        <f t="shared" ref="C15:D15" si="3">SUM(C9,C11,C14)</f>
        <v>12</v>
      </c>
      <c r="D15" s="5">
        <f t="shared" si="3"/>
        <v>23</v>
      </c>
    </row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60FC6-16A9-455F-9CDA-4757E21A956E}">
  <dimension ref="A1:K19"/>
  <sheetViews>
    <sheetView tabSelected="1" zoomScale="137" workbookViewId="0">
      <selection activeCell="A16" sqref="A16"/>
    </sheetView>
  </sheetViews>
  <sheetFormatPr defaultRowHeight="14.4"/>
  <cols>
    <col min="1" max="1" width="30.88671875" customWidth="1"/>
    <col min="2" max="2" width="16.109375" customWidth="1"/>
    <col min="3" max="3" width="15.88671875" customWidth="1"/>
    <col min="4" max="4" width="16" customWidth="1"/>
  </cols>
  <sheetData>
    <row r="1" spans="1:6" ht="18">
      <c r="A1" s="30" t="s">
        <v>73</v>
      </c>
      <c r="B1" s="30"/>
      <c r="C1" s="30"/>
      <c r="D1" s="30"/>
    </row>
    <row r="2" spans="1:6">
      <c r="A2" s="31" t="s">
        <v>51</v>
      </c>
      <c r="B2" s="31"/>
      <c r="C2" s="31"/>
      <c r="D2" s="31"/>
    </row>
    <row r="3" spans="1:6">
      <c r="A3" s="32" t="s">
        <v>88</v>
      </c>
      <c r="B3" s="32"/>
      <c r="C3" s="32"/>
      <c r="D3" s="32"/>
    </row>
    <row r="5" spans="1:6">
      <c r="A5" s="6" t="s">
        <v>60</v>
      </c>
      <c r="B5" s="6" t="s">
        <v>0</v>
      </c>
      <c r="C5" s="6" t="s">
        <v>1</v>
      </c>
      <c r="D5" s="6" t="s">
        <v>2</v>
      </c>
    </row>
    <row r="6" spans="1:6">
      <c r="A6" t="s">
        <v>52</v>
      </c>
      <c r="B6" s="8">
        <f>'Income Statement'!B8/'Income Statement'!B6</f>
        <v>0.4</v>
      </c>
      <c r="C6" s="8">
        <f>'Income Statement'!C8/'Income Statement'!C6</f>
        <v>0.41217391304347828</v>
      </c>
      <c r="D6" s="8">
        <f>'Income Statement'!D8/'Income Statement'!D6</f>
        <v>0.42058823529411765</v>
      </c>
    </row>
    <row r="7" spans="1:6">
      <c r="A7" t="s">
        <v>53</v>
      </c>
      <c r="B7" s="8">
        <f>'Income Statement'!B10/'Income Statement'!B6</f>
        <v>0.16</v>
      </c>
      <c r="C7" s="8">
        <f>'Income Statement'!C10/'Income Statement'!C6</f>
        <v>0.16869565217391305</v>
      </c>
      <c r="D7" s="8">
        <f>'Income Statement'!D10/'Income Statement'!D6</f>
        <v>0.18823529411764706</v>
      </c>
    </row>
    <row r="8" spans="1:6">
      <c r="A8" t="s">
        <v>54</v>
      </c>
      <c r="B8" s="8">
        <f>'Income Statement'!B14/'Income Statement'!B6</f>
        <v>9.8000000000000004E-2</v>
      </c>
      <c r="C8" s="8">
        <f>'Income Statement'!C14/'Income Statement'!C6</f>
        <v>0.10434782608695652</v>
      </c>
      <c r="D8" s="8">
        <f>'Income Statement'!D14/'Income Statement'!D6</f>
        <v>0.12058823529411765</v>
      </c>
    </row>
    <row r="9" spans="1:6">
      <c r="A9" t="s">
        <v>55</v>
      </c>
      <c r="B9" s="8">
        <f>'Income Statement'!B14/'Balance Sheet'!B14</f>
        <v>8.1666666666666665E-2</v>
      </c>
      <c r="C9" s="8">
        <f>'Income Statement'!C14/'Balance Sheet'!C14</f>
        <v>8.8888888888888892E-2</v>
      </c>
      <c r="D9" s="8">
        <f>'Income Statement'!D14/'Balance Sheet'!D14</f>
        <v>0.10580645161290322</v>
      </c>
    </row>
    <row r="10" spans="1:6">
      <c r="A10" t="s">
        <v>56</v>
      </c>
      <c r="B10" s="8">
        <f>'Income Statement'!B14/'Balance Sheet'!B25</f>
        <v>0.22272727272727272</v>
      </c>
      <c r="C10" s="8">
        <f>'Income Statement'!C14/'Balance Sheet'!C25</f>
        <v>0.23529411764705882</v>
      </c>
      <c r="D10" s="8">
        <f>'Income Statement'!D14/'Balance Sheet'!D25</f>
        <v>0.26031746031746034</v>
      </c>
      <c r="F10" s="7"/>
    </row>
    <row r="12" spans="1:6">
      <c r="A12" s="6" t="s">
        <v>57</v>
      </c>
      <c r="B12" s="6" t="s">
        <v>0</v>
      </c>
      <c r="C12" s="6" t="s">
        <v>1</v>
      </c>
      <c r="D12" s="6" t="s">
        <v>2</v>
      </c>
    </row>
    <row r="13" spans="1:6">
      <c r="A13" t="s">
        <v>59</v>
      </c>
      <c r="B13" s="9">
        <f>'Balance Sheet'!B11/'Balance Sheet'!B19</f>
        <v>1.6666666666666667</v>
      </c>
      <c r="C13" s="9">
        <f>'Balance Sheet'!C11/'Balance Sheet'!C19</f>
        <v>1.6882352941176471</v>
      </c>
      <c r="D13" s="9">
        <f>'Balance Sheet'!D11/'Balance Sheet'!D19</f>
        <v>1.7958115183246073</v>
      </c>
    </row>
    <row r="14" spans="1:6">
      <c r="A14" t="s">
        <v>58</v>
      </c>
      <c r="B14" s="9">
        <f>('Balance Sheet'!B11-'Balance Sheet'!B9)/'Balance Sheet'!B19</f>
        <v>1.0666666666666667</v>
      </c>
      <c r="C14" s="9">
        <f>('Balance Sheet'!C11-'Balance Sheet'!C9)/'Balance Sheet'!C19</f>
        <v>1.088235294117647</v>
      </c>
      <c r="D14" s="9">
        <f>('Balance Sheet'!D11-'Balance Sheet'!D9)/'Balance Sheet'!D19</f>
        <v>1.1780104712041886</v>
      </c>
    </row>
    <row r="16" spans="1:6">
      <c r="A16" s="6" t="s">
        <v>89</v>
      </c>
      <c r="B16" s="6" t="s">
        <v>0</v>
      </c>
      <c r="C16" s="6" t="s">
        <v>1</v>
      </c>
      <c r="D16" s="6" t="s">
        <v>2</v>
      </c>
    </row>
    <row r="17" spans="1:11">
      <c r="A17" t="s">
        <v>61</v>
      </c>
      <c r="B17" s="11">
        <f>('Balance Sheet'!B17+'Balance Sheet'!B20)/'Balance Sheet'!B25</f>
        <v>1.0227272727272727</v>
      </c>
      <c r="C17" s="11">
        <f>('Balance Sheet'!C17+'Balance Sheet'!C20)/'Balance Sheet'!C25</f>
        <v>0.96078431372549022</v>
      </c>
      <c r="D17" s="11">
        <f>('Balance Sheet'!D17+'Balance Sheet'!D20)/'Balance Sheet'!D25</f>
        <v>0.84126984126984128</v>
      </c>
    </row>
    <row r="18" spans="1:11">
      <c r="A18" t="s">
        <v>63</v>
      </c>
      <c r="B18" s="9">
        <f>'Income Statement'!B10/'Income Statement'!B11</f>
        <v>5.333333333333333</v>
      </c>
      <c r="C18" s="9">
        <f>'Income Statement'!C10/'Income Statement'!C11</f>
        <v>5.7058823529411766</v>
      </c>
      <c r="D18" s="9">
        <f>'Income Statement'!D10/'Income Statement'!D11</f>
        <v>7.1111111111111107</v>
      </c>
    </row>
    <row r="19" spans="1:11">
      <c r="A19" t="s">
        <v>62</v>
      </c>
      <c r="B19" s="8">
        <f>('Balance Sheet'!B17+'Balance Sheet'!B20)/'Balance Sheet'!B14</f>
        <v>0.375</v>
      </c>
      <c r="C19" s="8">
        <f>('Balance Sheet'!C17+'Balance Sheet'!C20)/'Balance Sheet'!C14</f>
        <v>0.36296296296296299</v>
      </c>
      <c r="D19" s="8">
        <f>('Balance Sheet'!D17+'Balance Sheet'!D20)/'Balance Sheet'!D14</f>
        <v>0.34193548387096773</v>
      </c>
      <c r="K19" cm="1">
        <f t="array" aca="1" ref="K19" ca="1">+K19:Q19</f>
        <v>0</v>
      </c>
    </row>
  </sheetData>
  <mergeCells count="3">
    <mergeCell ref="A1:D1"/>
    <mergeCell ref="A2:D2"/>
    <mergeCell ref="A3:D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F6444-59D6-4B28-8CB4-D57B432E078F}">
  <dimension ref="A1:H35"/>
  <sheetViews>
    <sheetView zoomScale="84" zoomScaleNormal="100" workbookViewId="0">
      <selection activeCell="AF19" sqref="AF19"/>
    </sheetView>
  </sheetViews>
  <sheetFormatPr defaultRowHeight="14.4"/>
  <cols>
    <col min="1" max="1" width="26.5546875" customWidth="1"/>
    <col min="2" max="2" width="18.44140625" customWidth="1"/>
    <col min="4" max="4" width="26.109375" customWidth="1"/>
    <col min="5" max="5" width="18" customWidth="1"/>
    <col min="7" max="7" width="26" customWidth="1"/>
    <col min="8" max="8" width="17.77734375" customWidth="1"/>
  </cols>
  <sheetData>
    <row r="1" spans="1:8">
      <c r="A1" s="31" t="s">
        <v>73</v>
      </c>
      <c r="B1" s="31"/>
      <c r="C1" s="31"/>
      <c r="D1" s="31"/>
      <c r="E1" s="31"/>
      <c r="F1" s="31"/>
      <c r="G1" s="31"/>
      <c r="H1" s="31"/>
    </row>
    <row r="2" spans="1:8">
      <c r="A2" s="31" t="s">
        <v>64</v>
      </c>
      <c r="B2" s="31"/>
      <c r="C2" s="31"/>
      <c r="D2" s="31"/>
      <c r="E2" s="31"/>
      <c r="F2" s="31"/>
      <c r="G2" s="31"/>
      <c r="H2" s="31"/>
    </row>
    <row r="3" spans="1:8">
      <c r="A3" s="31" t="s">
        <v>65</v>
      </c>
      <c r="B3" s="31"/>
      <c r="C3" s="31"/>
      <c r="D3" s="31"/>
      <c r="E3" s="31"/>
      <c r="F3" s="31"/>
      <c r="G3" s="31"/>
      <c r="H3" s="31"/>
    </row>
    <row r="4" spans="1:8">
      <c r="A4" s="38" t="s">
        <v>72</v>
      </c>
      <c r="B4" s="38"/>
    </row>
    <row r="5" spans="1:8">
      <c r="A5" s="19" t="s">
        <v>66</v>
      </c>
      <c r="B5" s="20">
        <f>'Income Statement'!D6</f>
        <v>680</v>
      </c>
    </row>
    <row r="6" spans="1:8">
      <c r="A6" s="19" t="s">
        <v>67</v>
      </c>
      <c r="B6" s="20">
        <f>'Income Statement'!D14</f>
        <v>82</v>
      </c>
    </row>
    <row r="7" spans="1:8">
      <c r="A7" s="19" t="s">
        <v>54</v>
      </c>
      <c r="B7" s="21">
        <f>'Ratio Analysis'!D8</f>
        <v>0.12058823529411765</v>
      </c>
    </row>
    <row r="10" spans="1:8">
      <c r="A10" s="12" t="s">
        <v>69</v>
      </c>
      <c r="B10" s="13" t="s">
        <v>68</v>
      </c>
      <c r="D10" s="12" t="s">
        <v>69</v>
      </c>
      <c r="E10" s="16" t="s">
        <v>70</v>
      </c>
      <c r="G10" s="12" t="s">
        <v>69</v>
      </c>
      <c r="H10" s="16" t="s">
        <v>71</v>
      </c>
    </row>
    <row r="11" spans="1:8">
      <c r="A11" s="14" t="s">
        <v>0</v>
      </c>
      <c r="B11" s="14">
        <f>'Income Statement'!B6</f>
        <v>500</v>
      </c>
      <c r="D11" s="14" t="s">
        <v>0</v>
      </c>
      <c r="E11" s="14">
        <f>'Income Statement'!B14</f>
        <v>49</v>
      </c>
      <c r="G11" s="14" t="s">
        <v>0</v>
      </c>
      <c r="H11" s="17">
        <f>'Ratio Analysis'!B8</f>
        <v>9.8000000000000004E-2</v>
      </c>
    </row>
    <row r="12" spans="1:8">
      <c r="A12" s="15" t="s">
        <v>1</v>
      </c>
      <c r="B12" s="14">
        <f>'Income Statement'!C6</f>
        <v>575</v>
      </c>
      <c r="D12" s="15" t="s">
        <v>1</v>
      </c>
      <c r="E12" s="14">
        <f>'Income Statement'!C14</f>
        <v>60</v>
      </c>
      <c r="G12" s="15" t="s">
        <v>1</v>
      </c>
      <c r="H12" s="17">
        <f>'Ratio Analysis'!C8</f>
        <v>0.10434782608695652</v>
      </c>
    </row>
    <row r="13" spans="1:8">
      <c r="A13" s="15" t="s">
        <v>2</v>
      </c>
      <c r="B13" s="14">
        <f>'Income Statement'!D6</f>
        <v>680</v>
      </c>
      <c r="D13" s="15" t="s">
        <v>2</v>
      </c>
      <c r="E13" s="14">
        <f>'Income Statement'!D14</f>
        <v>82</v>
      </c>
      <c r="G13" s="15" t="s">
        <v>2</v>
      </c>
      <c r="H13" s="18">
        <f>'Ratio Analysis'!D8</f>
        <v>0.12058823529411765</v>
      </c>
    </row>
    <row r="16" spans="1:8">
      <c r="A16" s="4"/>
      <c r="B16" s="1"/>
    </row>
    <row r="17" spans="1:4">
      <c r="A17" s="10"/>
      <c r="B17" s="10"/>
    </row>
    <row r="18" spans="1:4">
      <c r="B18" s="10"/>
    </row>
    <row r="19" spans="1:4">
      <c r="B19" s="10"/>
    </row>
    <row r="26" spans="1:4" ht="18">
      <c r="A26" s="40" t="s">
        <v>86</v>
      </c>
      <c r="B26" s="40"/>
      <c r="C26" s="40"/>
      <c r="D26" s="40"/>
    </row>
    <row r="27" spans="1:4">
      <c r="A27" s="27" t="s">
        <v>75</v>
      </c>
      <c r="B27" s="39" t="s">
        <v>76</v>
      </c>
      <c r="C27" s="39"/>
      <c r="D27" s="39"/>
    </row>
    <row r="28" spans="1:4" ht="25.8" customHeight="1">
      <c r="A28" s="28" t="s">
        <v>8</v>
      </c>
      <c r="B28" s="37" t="s">
        <v>77</v>
      </c>
      <c r="C28" s="37"/>
      <c r="D28" s="37"/>
    </row>
    <row r="29" spans="1:4" ht="24" customHeight="1">
      <c r="A29" s="28" t="s">
        <v>78</v>
      </c>
      <c r="B29" s="37" t="s">
        <v>79</v>
      </c>
      <c r="C29" s="37"/>
      <c r="D29" s="37"/>
    </row>
    <row r="30" spans="1:4" ht="24.6" customHeight="1">
      <c r="A30" s="28" t="s">
        <v>80</v>
      </c>
      <c r="B30" s="37" t="s">
        <v>81</v>
      </c>
      <c r="C30" s="37"/>
      <c r="D30" s="37"/>
    </row>
    <row r="31" spans="1:4" ht="24" customHeight="1">
      <c r="A31" s="28" t="s">
        <v>82</v>
      </c>
      <c r="B31" s="37" t="s">
        <v>83</v>
      </c>
      <c r="C31" s="37"/>
      <c r="D31" s="37"/>
    </row>
    <row r="32" spans="1:4" ht="24" customHeight="1">
      <c r="A32" s="28" t="s">
        <v>84</v>
      </c>
      <c r="B32" s="37" t="s">
        <v>85</v>
      </c>
      <c r="C32" s="37"/>
      <c r="D32" s="37"/>
    </row>
    <row r="34" spans="1:5">
      <c r="A34" s="36" t="s">
        <v>87</v>
      </c>
      <c r="B34" s="36"/>
      <c r="C34" s="36"/>
      <c r="D34" s="36"/>
    </row>
    <row r="35" spans="1:5">
      <c r="A35" s="35"/>
      <c r="B35" s="35"/>
      <c r="C35" s="35"/>
      <c r="D35" s="35"/>
      <c r="E35" s="35"/>
    </row>
  </sheetData>
  <mergeCells count="13">
    <mergeCell ref="A4:B4"/>
    <mergeCell ref="B27:D27"/>
    <mergeCell ref="A26:D26"/>
    <mergeCell ref="A1:H1"/>
    <mergeCell ref="A2:H2"/>
    <mergeCell ref="A3:H3"/>
    <mergeCell ref="A35:E35"/>
    <mergeCell ref="A34:D34"/>
    <mergeCell ref="B28:D28"/>
    <mergeCell ref="B29:D29"/>
    <mergeCell ref="B30:D30"/>
    <mergeCell ref="B31:D31"/>
    <mergeCell ref="B32:D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Income Statement</vt:lpstr>
      <vt:lpstr>Balance Sheet</vt:lpstr>
      <vt:lpstr>Cash Flow</vt:lpstr>
      <vt:lpstr>Ratio 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L</dc:creator>
  <cp:lastModifiedBy>Vinay L</cp:lastModifiedBy>
  <dcterms:created xsi:type="dcterms:W3CDTF">2026-09-20T09:36:40Z</dcterms:created>
  <dcterms:modified xsi:type="dcterms:W3CDTF">2026-09-21T06:45:50Z</dcterms:modified>
</cp:coreProperties>
</file>